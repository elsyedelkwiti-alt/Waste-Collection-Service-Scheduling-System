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352" tabRatio="500" activeTab="1"/>
  </bookViews>
  <sheets>
    <sheet name="ورقة1" sheetId="1" r:id="rId1"/>
    <sheet name="ورقة2" sheetId="2" r:id="rId2"/>
    <sheet name="ورق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<sst xmlns="http://schemas.openxmlformats.org/spreadsheetml/2006/main" count="62" uniqueCount="59">
  <si>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Type</t>
  </si>
  <si>
    <t>Current Situation / Considerations</t>
  </si>
  <si>
    <t>Proposed Solution / Benefits</t>
  </si>
  <si>
    <t>Feasibility Result</t>
  </si>
  <si>
    <t>Technical</t>
  </si>
  <si>
    <t>Manual paper/spreadsheet schedules; coordination by phone calls; no real-time tracking of trucks or stops.</t>
  </si>
  <si>
    <t>Web system with mobile access for drivers, database (MySQL/PostgreSQL), SMS/email gateway, optional GPS tracking; cloud backup.</t>
  </si>
  <si>
    <t>✅ Technically feasible</t>
  </si>
  <si>
    <t>Operational</t>
  </si>
  <si>
    <t>Manual planning is time-consuming; difficulty tracking missed pickups and complaints; resistance to change possible.</t>
  </si>
  <si>
    <t>Automated schedules; quick rescheduling with resident alerts; easy complaint tracking; reduced workload; better resident satisfaction.</t>
  </si>
  <si>
    <t>✅ Operationally feasible</t>
  </si>
  <si>
    <t>Economic</t>
  </si>
  <si>
    <t>Cost of software, driver devices, SMS gateway, training, and maintenance.</t>
  </si>
  <si>
    <t>Saves time/fuel; fewer repeat trips; reduces errors; lower admin costs; long-term efficiency gains.</t>
  </si>
  <si>
    <t>✅ Cost-effective</t>
  </si>
  <si>
    <t>Legal</t>
  </si>
  <si>
    <t>Need compliance with data protection laws for residents' data and with waste-handling regulations.</t>
  </si>
  <si>
    <t>Implement data privacy/security policies; follow regulations for hazardous and recyclable waste.</t>
  </si>
  <si>
    <t>✅ Legally feasible</t>
  </si>
  <si>
    <t>Schedule</t>
  </si>
  <si>
    <t>Manual processes delay planning, rescheduling, and complaint handling.</t>
  </si>
  <si>
    <t>Estimated timeline 3–6 months (requirements → design → development → testing → deployment).</t>
  </si>
  <si>
    <t>✅ Achievable timeline</t>
  </si>
  <si>
    <t>Cost–Benefit Analysis – Waste Collection Service Scheduling System</t>
  </si>
  <si>
    <t>Category</t>
  </si>
  <si>
    <t>Description</t>
  </si>
  <si>
    <t>Estimated Cost – Min ($)</t>
  </si>
  <si>
    <t>Estimated Cost – Max ($)</t>
  </si>
  <si>
    <t>Benefits</t>
  </si>
  <si>
    <t>Estimated Value (per year, $)</t>
  </si>
  <si>
    <t>Software</t>
  </si>
  <si>
    <t>Development (in-house) or purchase of scheduling software license</t>
  </si>
  <si>
    <t>Centralized, automated scheduling reduces conflicts, errors, and missed pickups.</t>
  </si>
  <si>
    <t>Hardware</t>
  </si>
  <si>
    <t>Server, smartphones/tablets for drivers, GPS trackers (optional), backup drives</t>
  </si>
  <si>
    <t>Real-time stop tracking; fewer repeat trips; reduced manual work.</t>
  </si>
  <si>
    <t>Training</t>
  </si>
  <si>
    <t>Staff/driver/crew training sessions</t>
  </si>
  <si>
    <t>Smooth transition, efficient use of system.</t>
  </si>
  <si>
    <t>Maintenance</t>
  </si>
  <si>
    <t>Annual software updates, bug fixes, server hosting, SMS/email gateway fees</t>
  </si>
  <si>
    <t>Ensures system reliability and security; keeps resident reminders running.</t>
  </si>
  <si>
    <t>Administration</t>
  </si>
  <si>
    <t>Current manual system (paper schedules, phone calls, printing) – about $1,800 per year</t>
  </si>
  <si>
    <t>–</t>
  </si>
  <si>
    <t>Eliminated with the system → paperless scheduling.</t>
  </si>
  <si>
    <t>User Experience</t>
  </si>
  <si>
    <t>Residents don't know pickup times; complaints are slow to handle</t>
  </si>
  <si>
    <t>Clear schedules, faster complaint handling, cleaner neighborhoods.</t>
  </si>
  <si>
    <t>Intangible but high value</t>
  </si>
  <si>
    <t>Summary</t>
  </si>
  <si>
    <t>Total Estimated Costs – Minimum (first year)</t>
  </si>
  <si>
    <t>Total Estimated Costs – Maximum (first year)</t>
  </si>
  <si>
    <t>Total Estimated Annual Benefits/Savings</t>
  </si>
  <si>
    <t>Payback Period – Best case (months)</t>
  </si>
  <si>
    <t>Payback Period – Worst case (months)</t>
  </si>
  <si>
    <t>Conclusion: The Waste Collection Service Scheduling System is economically feasible, with clear cost savings and a payback period of less than one year.</t>
  </si>
  <si>
    <t>Note: Administration ($1,800/year) is a current cost removed by the system, so it is counted as a saving, not a new cost. All figures are estimates.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</si>
</sst>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"/>
    <numFmt numFmtId="177" formatCode="0.0"/>
  </numFmts>
  <fonts count="22">
    <font>
      <sz val="11"/>
      <color theme="1"/>
      <name val="Calibri"/>
      <charset val="178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176" fontId="0" fillId="0" borderId="0" xfId="0" applyNumberFormat="1" applyAlignment="1"/>
    <xf numFmtId="177" fontId="0" fillId="0" borderId="0" xfId="0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D12"/>
  <sheetViews>
    <sheetView rightToLeft="1" topLeftCell="B1" workbookViewId="0">
      <selection activeCell="C12" sqref="C12"/>
    </sheetView>
  </sheetViews>
  <sheetFormatPr defaultColWidth="9" defaultRowHeight="14.4" outlineLevelCol="3"/>
  <cols>
    <col min="1" max="1" width="13.3771929824561" style="1" customWidth="1"/>
    <col min="2" max="2" width="65.6228070175439" style="1" customWidth="1"/>
    <col min="3" max="3" width="68.1315789473684" style="1" customWidth="1"/>
    <col min="4" max="4" width="20.3771929824561" style="1" customWidth="1"/>
  </cols>
  <sheetData>
    <row r="7" ht="14.25" customHeight="1" spans="1:4">
      <c r="A7" s="1" t="s">
        <v>0</v>
      </c>
      <c r="B7" s="1" t="s">
        <v>1</v>
      </c>
      <c r="C7" s="1" t="s">
        <v>2</v>
      </c>
      <c r="D7" s="1" t="s">
        <v>3</v>
      </c>
    </row>
    <row r="8" ht="14.25" customHeight="1" spans="1:4">
      <c r="A8" s="1" t="s">
        <v>4</v>
      </c>
      <c r="B8" s="1" t="s">
        <v>5</v>
      </c>
      <c r="C8" s="1" t="s">
        <v>6</v>
      </c>
      <c r="D8" s="1" t="s">
        <v>7</v>
      </c>
    </row>
    <row r="9" ht="14.25" customHeight="1" spans="1:4">
      <c r="A9" s="1" t="s">
        <v>8</v>
      </c>
      <c r="B9" s="1" t="s">
        <v>9</v>
      </c>
      <c r="C9" s="1" t="s">
        <v>10</v>
      </c>
      <c r="D9" s="1" t="s">
        <v>11</v>
      </c>
    </row>
    <row r="10" ht="14.25" customHeight="1" spans="1:4">
      <c r="A10" s="1" t="s">
        <v>12</v>
      </c>
      <c r="B10" s="1" t="s">
        <v>13</v>
      </c>
      <c r="C10" s="1" t="s">
        <v>14</v>
      </c>
      <c r="D10" s="1" t="s">
        <v>15</v>
      </c>
    </row>
    <row r="11" ht="14.25" customHeight="1" spans="1:4">
      <c r="A11" s="1" t="s">
        <v>16</v>
      </c>
      <c r="B11" s="1" t="s">
        <v>17</v>
      </c>
      <c r="C11" s="1" t="s">
        <v>18</v>
      </c>
      <c r="D11" s="1" t="s">
        <v>19</v>
      </c>
    </row>
    <row r="12" ht="14.25" customHeight="1" spans="1:4">
      <c r="A12" s="1" t="s">
        <v>20</v>
      </c>
      <c r="B12" s="1" t="s">
        <v>21</v>
      </c>
      <c r="C12" s="1" t="s">
        <v>22</v>
      </c>
      <c r="D12" s="1" t="s">
        <v>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I28"/>
  <sheetViews>
    <sheetView tabSelected="1" rightToLeft="1" topLeftCell="B4" workbookViewId="0">
      <selection activeCell="E13" sqref="E13"/>
    </sheetView>
  </sheetViews>
  <sheetFormatPr defaultColWidth="9" defaultRowHeight="14.4"/>
  <cols>
    <col min="1" max="1" width="17" style="1" customWidth="1"/>
    <col min="2" max="2" width="62" style="1" customWidth="1"/>
    <col min="3" max="4" width="24" style="1" customWidth="1"/>
    <col min="5" max="5" width="62" style="1" customWidth="1"/>
    <col min="6" max="6" width="28" style="1" customWidth="1"/>
    <col min="7" max="7" width="4" style="1" customWidth="1"/>
    <col min="8" max="8" width="46" style="1" customWidth="1"/>
    <col min="9" max="9" width="14" style="1" customWidth="1"/>
  </cols>
  <sheetData>
    <row r="5" ht="14.25" customHeight="1" spans="1:8">
      <c r="H5" s="1" t="s">
        <v>24</v>
      </c>
    </row>
    <row r="7" ht="14.25" customHeight="1" spans="1:8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 ht="14.25" customHeight="1" spans="1:8">
      <c r="A8" s="1" t="s">
        <v>31</v>
      </c>
      <c r="B8" s="1" t="s">
        <v>32</v>
      </c>
      <c r="C8" s="2">
        <v>3000</v>
      </c>
      <c r="D8" s="2">
        <v>6000</v>
      </c>
      <c r="E8" s="1" t="s">
        <v>33</v>
      </c>
      <c r="F8" s="2">
        <v>4000</v>
      </c>
    </row>
    <row r="9" ht="14.25" customHeight="1" spans="1:8">
      <c r="A9" s="1" t="s">
        <v>34</v>
      </c>
      <c r="B9" s="1" t="s">
        <v>35</v>
      </c>
      <c r="C9" s="2">
        <v>2000</v>
      </c>
      <c r="D9" s="2">
        <v>3500</v>
      </c>
      <c r="E9" s="1" t="s">
        <v>36</v>
      </c>
      <c r="F9" s="2">
        <v>3500</v>
      </c>
    </row>
    <row r="10" ht="14.25" customHeight="1" spans="1:8">
      <c r="A10" s="1" t="s">
        <v>37</v>
      </c>
      <c r="B10" s="1" t="s">
        <v>38</v>
      </c>
      <c r="C10" s="2">
        <v>400</v>
      </c>
      <c r="D10" s="2">
        <v>800</v>
      </c>
      <c r="E10" s="1" t="s">
        <v>39</v>
      </c>
      <c r="F10" s="2">
        <v>1000</v>
      </c>
    </row>
    <row r="11" ht="14.25" customHeight="1" spans="1:8">
      <c r="A11" s="1" t="s">
        <v>40</v>
      </c>
      <c r="B11" s="1" t="s">
        <v>41</v>
      </c>
      <c r="C11" s="2">
        <v>900</v>
      </c>
      <c r="D11" s="2">
        <v>1500</v>
      </c>
      <c r="E11" s="1" t="s">
        <v>42</v>
      </c>
      <c r="F11" s="2">
        <v>2500</v>
      </c>
    </row>
    <row r="12" ht="14.25" customHeight="1" spans="1:8">
      <c r="A12" s="1" t="s">
        <v>43</v>
      </c>
      <c r="B12" s="1" t="s">
        <v>44</v>
      </c>
      <c r="C12" s="1" t="s">
        <v>45</v>
      </c>
      <c r="D12" s="1" t="s">
        <v>45</v>
      </c>
      <c r="E12" s="1" t="s">
        <v>46</v>
      </c>
      <c r="F12" s="2">
        <v>1800</v>
      </c>
    </row>
    <row r="13" ht="14.25" customHeight="1" spans="1:8">
      <c r="A13" s="1" t="s">
        <v>47</v>
      </c>
      <c r="B13" s="1" t="s">
        <v>48</v>
      </c>
      <c r="C13" s="1" t="s">
        <v>45</v>
      </c>
      <c r="D13" s="1" t="s">
        <v>45</v>
      </c>
      <c r="E13" s="1" t="s">
        <v>49</v>
      </c>
      <c r="F13" s="1" t="s">
        <v>50</v>
      </c>
    </row>
    <row r="18" ht="14.25" customHeight="1" spans="8:9">
      <c r="H18" s="1" t="s">
        <v>51</v>
      </c>
    </row>
    <row r="20" ht="14.25" customHeight="1" spans="8:9">
      <c r="H20" s="1" t="s">
        <v>52</v>
      </c>
      <c r="I20" s="2">
        <f>SUM(C8:C11)</f>
        <v>6300</v>
      </c>
    </row>
    <row r="21" ht="14.25" customHeight="1" spans="8:9">
      <c r="H21" s="1" t="s">
        <v>53</v>
      </c>
      <c r="I21" s="2">
        <f>SUM(D8:D11)</f>
        <v>11800</v>
      </c>
    </row>
    <row r="22" ht="14.25" customHeight="1" spans="8:9">
      <c r="H22" s="1" t="s">
        <v>54</v>
      </c>
      <c r="I22" s="2">
        <f>SUM(F8:F13)</f>
        <v>12800</v>
      </c>
    </row>
    <row r="23" ht="14.25" customHeight="1" spans="8:9">
      <c r="H23" s="1" t="s">
        <v>55</v>
      </c>
      <c r="I23" s="3">
        <f>I20/I22*12</f>
        <v>5.90625</v>
      </c>
    </row>
    <row r="24" ht="14.25" customHeight="1" spans="8:9">
      <c r="H24" s="1" t="s">
        <v>56</v>
      </c>
      <c r="I24" s="3">
        <f>I21/I22*12</f>
        <v>11.0625</v>
      </c>
    </row>
    <row r="26" ht="14.25" customHeight="1" spans="8:9">
      <c r="H26" s="1" t="s">
        <v>57</v>
      </c>
    </row>
    <row r="28" ht="14.25" customHeight="1" spans="8:9">
      <c r="H28" s="1" t="s">
        <v>58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rightToLeft="1" workbookViewId="0">
      <selection activeCell="A1" sqref="A1"/>
    </sheetView>
  </sheetViews>
  <sheetFormatPr defaultColWidth="9" defaultRowHeight="14.4"/>
  <sheetData/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DELL5540</cp:lastModifiedBy>
  <cp:revision>0</cp:revision>
  <dcterms:created xsi:type="dcterms:W3CDTF">2025-10-04T05:40:00Z</dcterms:created>
  <dcterms:modified xsi:type="dcterms:W3CDTF">2026-10-06T18:12:58Z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F1B275CD742540CF913B9A73B002087C_13</vt:lpwstr>
  </property>
  <property fmtid="{D5CDD505-2E9C-101B-9397-08002B2CF9AE}" pid="4" name="KSOProductBuildVer">
    <vt:lpwstr>1033-12.1.0.28485</vt:lpwstr>
  </property>
</Properties>
</file>